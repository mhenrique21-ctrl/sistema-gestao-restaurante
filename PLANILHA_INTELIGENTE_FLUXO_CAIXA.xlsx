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ACOMPANHAMENTO DIÁRIO" sheetId="2" state="visible" r:id="rId2"/>
    <sheet xmlns:r="http://schemas.openxmlformats.org/officeDocument/2006/relationships" name="RESUMO MENS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&quot;%&quot;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10"/>
    </font>
    <font>
      <b val="1"/>
      <color rgb="00FFFFFF"/>
      <sz val="11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2C3E50"/>
        <bgColor rgb="002C3E50"/>
      </patternFill>
    </fill>
    <fill>
      <patternFill patternType="solid">
        <fgColor rgb="00D1ECF1"/>
        <bgColor rgb="00D1EC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  <xf numFmtId="0" fontId="5" fillId="3" borderId="0" pivotButton="0" quotePrefix="0" xfId="0"/>
    <xf numFmtId="164" fontId="5" fillId="3" borderId="0" pivotButton="0" quotePrefix="0" xfId="0"/>
    <xf numFmtId="165" fontId="5" fillId="3" borderId="0" pivotButton="0" quotePrefix="0" xfId="0"/>
    <xf numFmtId="164" fontId="0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1" t="inlineStr">
        <is>
          <t>COMO USAR ESTA PLANILHA</t>
        </is>
      </c>
    </row>
    <row r="2">
      <c r="A2" s="2" t="inlineStr"/>
    </row>
    <row r="3">
      <c r="A3" s="3" t="inlineStr">
        <is>
          <t>PASSO 1: PREENCHIMENTO DIÁRIO</t>
        </is>
      </c>
    </row>
    <row r="4">
      <c r="A4" s="2" t="inlineStr">
        <is>
          <t>• Abra a aba 'ACOMPANHAMENTO DIÁRIO'</t>
        </is>
      </c>
    </row>
    <row r="5">
      <c r="A5" s="2" t="inlineStr">
        <is>
          <t>• Na coluna 'Valor Real (R$)' coloque quanto você REALMENTE PAGOU</t>
        </is>
      </c>
    </row>
    <row r="6">
      <c r="A6" s="2" t="inlineStr">
        <is>
          <t>• A planilha calcula automaticamente a diferença</t>
        </is>
      </c>
    </row>
    <row r="7">
      <c r="A7" s="2" t="inlineStr"/>
    </row>
    <row r="8">
      <c r="A8" s="3" t="inlineStr">
        <is>
          <t>PASSO 2: ANALISAR RESULTADOS</t>
        </is>
      </c>
    </row>
    <row r="9">
      <c r="A9" s="2" t="inlineStr">
        <is>
          <t>• Coluna 'Diferença': mostra se gastos foram MAIORES ou MENORES</t>
        </is>
      </c>
    </row>
    <row r="10">
      <c r="A10" s="2" t="inlineStr">
        <is>
          <t>• Coluna 'Variação (%)': percentual de aumento ou redução</t>
        </is>
      </c>
    </row>
    <row r="11">
      <c r="A11" s="2" t="inlineStr">
        <is>
          <t>• Coluna 'Status': ✓ OK (dentro do planejado) ou ⚠ AUMENTO (acima)</t>
        </is>
      </c>
    </row>
    <row r="12">
      <c r="A12" s="2" t="inlineStr"/>
    </row>
    <row r="13">
      <c r="A13" s="3" t="inlineStr">
        <is>
          <t>PASSO 3: ACOMPANHAR TENDÊNCIAS</t>
        </is>
      </c>
    </row>
    <row r="14">
      <c r="A14" s="2" t="inlineStr">
        <is>
          <t>• Use a aba 'RESUMO MENSAL' para acompanhar semana a semana</t>
        </is>
      </c>
    </row>
    <row r="15">
      <c r="A15" s="2" t="inlineStr">
        <is>
          <t>• Identifique quais contas estão aumentando mais</t>
        </is>
      </c>
    </row>
    <row r="16">
      <c r="A16" s="2" t="inlineStr">
        <is>
          <t>• Tome ações corretivas se necessário</t>
        </is>
      </c>
    </row>
    <row r="17">
      <c r="A17" s="2" t="inlineStr"/>
    </row>
    <row r="18">
      <c r="A18" s="3" t="inlineStr">
        <is>
          <t>CÓDIGO DE CORES:</t>
        </is>
      </c>
    </row>
    <row r="19">
      <c r="A19" s="2" t="inlineStr">
        <is>
          <t>• Verde = Valor Real OK (menor ou igual ao planejado)</t>
        </is>
      </c>
    </row>
    <row r="20">
      <c r="A20" s="2" t="inlineStr">
        <is>
          <t>• Vermelho = Valor Real ACIMA (maior que planejado)</t>
        </is>
      </c>
    </row>
    <row r="21">
      <c r="A21" s="2" t="inlineStr">
        <is>
          <t>• Azul = Campo para você preencher</t>
        </is>
      </c>
    </row>
    <row r="22">
      <c r="A22" s="2" t="inlineStr"/>
    </row>
    <row r="23">
      <c r="A23" s="3" t="inlineStr">
        <is>
          <t>DICAS:</t>
        </is>
      </c>
    </row>
    <row r="24">
      <c r="A24" s="2" t="inlineStr">
        <is>
          <t>✓ Preencha os valores REAIS assim que pagar</t>
        </is>
      </c>
    </row>
    <row r="25">
      <c r="A25" s="2" t="inlineStr">
        <is>
          <t>✓ Compare diariamente se está no alvo</t>
        </is>
      </c>
    </row>
    <row r="26">
      <c r="A26" s="2" t="inlineStr">
        <is>
          <t>✓ Identifique quais contas variam mais</t>
        </is>
      </c>
    </row>
    <row r="27">
      <c r="A27" s="2" t="inlineStr">
        <is>
          <t>✓ Use para negociar descontos com fornecedores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8" customWidth="1" min="5" max="5"/>
    <col width="15" customWidth="1" min="6" max="6"/>
    <col width="15" customWidth="1" min="7" max="7"/>
  </cols>
  <sheetData>
    <row r="1" ht="25" customHeight="1">
      <c r="A1" s="1" t="inlineStr">
        <is>
          <t>ACOMPANHAMENTO DIÁRIO - FLUXO DE CAIXA</t>
        </is>
      </c>
    </row>
    <row r="2">
      <c r="A2" s="4" t="inlineStr">
        <is>
          <t>Data: 07/06/2026</t>
        </is>
      </c>
    </row>
    <row r="4">
      <c r="A4" s="5" t="inlineStr">
        <is>
          <t>Nº</t>
        </is>
      </c>
      <c r="B4" s="5" t="inlineStr">
        <is>
          <t>Descrição</t>
        </is>
      </c>
      <c r="C4" s="5" t="inlineStr">
        <is>
          <t>Valor Fixo (R$)</t>
        </is>
      </c>
      <c r="D4" s="5" t="inlineStr">
        <is>
          <t>Valor Real (R$)</t>
        </is>
      </c>
      <c r="E4" s="5" t="inlineStr">
        <is>
          <t>Diferença (R$)</t>
        </is>
      </c>
      <c r="F4" s="5" t="inlineStr">
        <is>
          <t>Variação (%)</t>
        </is>
      </c>
      <c r="G4" s="5" t="inlineStr">
        <is>
          <t>Status</t>
        </is>
      </c>
    </row>
    <row r="5">
      <c r="A5" s="6" t="n">
        <v>1</v>
      </c>
      <c r="B5" s="7" t="inlineStr">
        <is>
          <t>Insumos 40%</t>
        </is>
      </c>
      <c r="C5" s="8" t="n">
        <v>2600</v>
      </c>
      <c r="D5" s="9" t="inlineStr"/>
      <c r="E5" s="8">
        <f>D5-C5</f>
        <v/>
      </c>
      <c r="F5" s="10">
        <f>IF(C5=0,0,(D5-C5)/C5*100)</f>
        <v/>
      </c>
      <c r="G5" s="6">
        <f>IF(D5="","-",IF(D5&lt;=C5,"✓ OK","⚠ AUMENTO"))</f>
        <v/>
      </c>
    </row>
    <row r="6">
      <c r="A6" s="6" t="n">
        <v>2</v>
      </c>
      <c r="B6" s="7" t="inlineStr">
        <is>
          <t>Folha doméstica</t>
        </is>
      </c>
      <c r="C6" s="8" t="n">
        <v>126.03</v>
      </c>
      <c r="D6" s="9" t="inlineStr"/>
      <c r="E6" s="8">
        <f>D6-C6</f>
        <v/>
      </c>
      <c r="F6" s="10">
        <f>IF(C6=0,0,(D6-C6)/C6*100)</f>
        <v/>
      </c>
      <c r="G6" s="6">
        <f>IF(D6="","-",IF(D6&lt;=C6,"✓ OK","⚠ AUMENTO"))</f>
        <v/>
      </c>
    </row>
    <row r="7">
      <c r="A7" s="6" t="n">
        <v>3</v>
      </c>
      <c r="B7" s="7" t="inlineStr">
        <is>
          <t>Energia loja</t>
        </is>
      </c>
      <c r="C7" s="8" t="n">
        <v>211.36</v>
      </c>
      <c r="D7" s="9" t="inlineStr"/>
      <c r="E7" s="8">
        <f>D7-C7</f>
        <v/>
      </c>
      <c r="F7" s="10">
        <f>IF(C7=0,0,(D7-C7)/C7*100)</f>
        <v/>
      </c>
      <c r="G7" s="6">
        <f>IF(D7="","-",IF(D7&lt;=C7,"✓ OK","⚠ AUMENTO"))</f>
        <v/>
      </c>
    </row>
    <row r="8">
      <c r="A8" s="6" t="n">
        <v>4</v>
      </c>
      <c r="B8" s="7" t="inlineStr">
        <is>
          <t>Deposito escola</t>
        </is>
      </c>
      <c r="C8" s="8" t="n">
        <v>233.85</v>
      </c>
      <c r="D8" s="9" t="inlineStr"/>
      <c r="E8" s="8">
        <f>D8-C8</f>
        <v/>
      </c>
      <c r="F8" s="10">
        <f>IF(C8=0,0,(D8-C8)/C8*100)</f>
        <v/>
      </c>
      <c r="G8" s="6">
        <f>IF(D8="","-",IF(D8&lt;=C8,"✓ OK","⚠ AUMENTO"))</f>
        <v/>
      </c>
    </row>
    <row r="9">
      <c r="A9" s="6" t="n">
        <v>5</v>
      </c>
      <c r="B9" s="7" t="inlineStr">
        <is>
          <t>Macapá Máquinas</t>
        </is>
      </c>
      <c r="C9" s="8" t="n">
        <v>250</v>
      </c>
      <c r="D9" s="9" t="inlineStr"/>
      <c r="E9" s="8">
        <f>D9-C9</f>
        <v/>
      </c>
      <c r="F9" s="10">
        <f>IF(C9=0,0,(D9-C9)/C9*100)</f>
        <v/>
      </c>
      <c r="G9" s="6">
        <f>IF(D9="","-",IF(D9&lt;=C9,"✓ OK","⚠ AUMENTO"))</f>
        <v/>
      </c>
    </row>
    <row r="10">
      <c r="A10" s="6" t="n">
        <v>6</v>
      </c>
      <c r="B10" s="7" t="inlineStr">
        <is>
          <t>Energia residencial</t>
        </is>
      </c>
      <c r="C10" s="8" t="n">
        <v>45.45</v>
      </c>
      <c r="D10" s="9" t="inlineStr"/>
      <c r="E10" s="8">
        <f>D10-C10</f>
        <v/>
      </c>
      <c r="F10" s="10">
        <f>IF(C10=0,0,(D10-C10)/C10*100)</f>
        <v/>
      </c>
      <c r="G10" s="6">
        <f>IF(D10="","-",IF(D10&lt;=C10,"✓ OK","⚠ AUMENTO"))</f>
        <v/>
      </c>
    </row>
    <row r="11">
      <c r="A11" s="6" t="n">
        <v>7</v>
      </c>
      <c r="B11" s="7" t="inlineStr">
        <is>
          <t>Plano de saúde</t>
        </is>
      </c>
      <c r="C11" s="8" t="n">
        <v>300</v>
      </c>
      <c r="D11" s="9" t="inlineStr"/>
      <c r="E11" s="8">
        <f>D11-C11</f>
        <v/>
      </c>
      <c r="F11" s="10">
        <f>IF(C11=0,0,(D11-C11)/C11*100)</f>
        <v/>
      </c>
      <c r="G11" s="6">
        <f>IF(D11="","-",IF(D11&lt;=C11,"✓ OK","⚠ AUMENTO"))</f>
        <v/>
      </c>
    </row>
    <row r="12">
      <c r="A12" s="6" t="n">
        <v>8</v>
      </c>
      <c r="B12" s="7" t="inlineStr">
        <is>
          <t>Condomínio</t>
        </is>
      </c>
      <c r="C12" s="8" t="n">
        <v>17.27</v>
      </c>
      <c r="D12" s="9" t="inlineStr"/>
      <c r="E12" s="8">
        <f>D12-C12</f>
        <v/>
      </c>
      <c r="F12" s="10">
        <f>IF(C12=0,0,(D12-C12)/C12*100)</f>
        <v/>
      </c>
      <c r="G12" s="6">
        <f>IF(D12="","-",IF(D12&lt;=C12,"✓ OK","⚠ AUMENTO"))</f>
        <v/>
      </c>
    </row>
    <row r="13">
      <c r="A13" s="6" t="n">
        <v>9</v>
      </c>
      <c r="B13" s="7" t="inlineStr">
        <is>
          <t>Aluguel Dr. Rodrigo</t>
        </is>
      </c>
      <c r="C13" s="8" t="n">
        <v>239.82</v>
      </c>
      <c r="D13" s="9" t="inlineStr"/>
      <c r="E13" s="8">
        <f>D13-C13</f>
        <v/>
      </c>
      <c r="F13" s="10">
        <f>IF(C13=0,0,(D13-C13)/C13*100)</f>
        <v/>
      </c>
      <c r="G13" s="6">
        <f>IF(D13="","-",IF(D13&lt;=C13,"✓ OK","⚠ AUMENTO"))</f>
        <v/>
      </c>
    </row>
    <row r="14">
      <c r="A14" s="6" t="n">
        <v>10</v>
      </c>
      <c r="B14" s="7" t="inlineStr">
        <is>
          <t>Dedetização</t>
        </is>
      </c>
      <c r="C14" s="8" t="n">
        <v>15.91</v>
      </c>
      <c r="D14" s="9" t="inlineStr"/>
      <c r="E14" s="8">
        <f>D14-C14</f>
        <v/>
      </c>
      <c r="F14" s="10">
        <f>IF(C14=0,0,(D14-C14)/C14*100)</f>
        <v/>
      </c>
      <c r="G14" s="6">
        <f>IF(D14="","-",IF(D14&lt;=C14,"✓ OK","⚠ AUMENTO"))</f>
        <v/>
      </c>
    </row>
    <row r="15">
      <c r="A15" s="6" t="n">
        <v>11</v>
      </c>
      <c r="B15" s="7" t="inlineStr">
        <is>
          <t>Segurança</t>
        </is>
      </c>
      <c r="C15" s="8" t="n">
        <v>31.36</v>
      </c>
      <c r="D15" s="9" t="inlineStr"/>
      <c r="E15" s="8">
        <f>D15-C15</f>
        <v/>
      </c>
      <c r="F15" s="10">
        <f>IF(C15=0,0,(D15-C15)/C15*100)</f>
        <v/>
      </c>
      <c r="G15" s="6">
        <f>IF(D15="","-",IF(D15&lt;=C15,"✓ OK","⚠ AUMENTO"))</f>
        <v/>
      </c>
    </row>
    <row r="16">
      <c r="A16" s="6" t="n">
        <v>12</v>
      </c>
      <c r="B16" s="7" t="inlineStr">
        <is>
          <t>Internet</t>
        </is>
      </c>
      <c r="C16" s="8" t="n">
        <v>27.27</v>
      </c>
      <c r="D16" s="9" t="inlineStr"/>
      <c r="E16" s="8">
        <f>D16-C16</f>
        <v/>
      </c>
      <c r="F16" s="10">
        <f>IF(C16=0,0,(D16-C16)/C16*100)</f>
        <v/>
      </c>
      <c r="G16" s="6">
        <f>IF(D16="","-",IF(D16&lt;=C16,"✓ OK","⚠ AUMENTO"))</f>
        <v/>
      </c>
    </row>
    <row r="17">
      <c r="A17" s="6" t="n">
        <v>13</v>
      </c>
      <c r="B17" s="7" t="inlineStr">
        <is>
          <t>PDV Goomer</t>
        </is>
      </c>
      <c r="C17" s="8" t="n">
        <v>34.55</v>
      </c>
      <c r="D17" s="9" t="inlineStr"/>
      <c r="E17" s="8">
        <f>D17-C17</f>
        <v/>
      </c>
      <c r="F17" s="10">
        <f>IF(C17=0,0,(D17-C17)/C17*100)</f>
        <v/>
      </c>
      <c r="G17" s="6">
        <f>IF(D17="","-",IF(D17&lt;=C17,"✓ OK","⚠ AUMENTO"))</f>
        <v/>
      </c>
    </row>
    <row r="18">
      <c r="A18" s="6" t="n">
        <v>14</v>
      </c>
      <c r="B18" s="7" t="inlineStr">
        <is>
          <t>PDV Eclética</t>
        </is>
      </c>
      <c r="C18" s="8" t="n">
        <v>20</v>
      </c>
      <c r="D18" s="9" t="inlineStr"/>
      <c r="E18" s="8">
        <f>D18-C18</f>
        <v/>
      </c>
      <c r="F18" s="10">
        <f>IF(C18=0,0,(D18-C18)/C18*100)</f>
        <v/>
      </c>
      <c r="G18" s="6">
        <f>IF(D18="","-",IF(D18&lt;=C18,"✓ OK","⚠ AUMENTO"))</f>
        <v/>
      </c>
    </row>
    <row r="19">
      <c r="A19" s="6" t="n">
        <v>15</v>
      </c>
      <c r="B19" s="7" t="inlineStr">
        <is>
          <t>Aluguel Seama</t>
        </is>
      </c>
      <c r="C19" s="8" t="n">
        <v>100</v>
      </c>
      <c r="D19" s="9" t="inlineStr"/>
      <c r="E19" s="8">
        <f>D19-C19</f>
        <v/>
      </c>
      <c r="F19" s="10">
        <f>IF(C19=0,0,(D19-C19)/C19*100)</f>
        <v/>
      </c>
      <c r="G19" s="6">
        <f>IF(D19="","-",IF(D19&lt;=C19,"✓ OK","⚠ AUMENTO"))</f>
        <v/>
      </c>
    </row>
    <row r="20">
      <c r="A20" s="6" t="n">
        <v>16</v>
      </c>
      <c r="B20" s="7" t="inlineStr">
        <is>
          <t>Contabilidade</t>
        </is>
      </c>
      <c r="C20" s="8" t="n">
        <v>52.96</v>
      </c>
      <c r="D20" s="9" t="inlineStr"/>
      <c r="E20" s="8">
        <f>D20-C20</f>
        <v/>
      </c>
      <c r="F20" s="10">
        <f>IF(C20=0,0,(D20-C20)/C20*100)</f>
        <v/>
      </c>
      <c r="G20" s="6">
        <f>IF(D20="","-",IF(D20&lt;=C20,"✓ OK","⚠ AUMENTO"))</f>
        <v/>
      </c>
    </row>
    <row r="21">
      <c r="A21" s="6" t="n">
        <v>17</v>
      </c>
      <c r="B21" s="7" t="inlineStr">
        <is>
          <t>Petróleo</t>
        </is>
      </c>
      <c r="C21" s="8" t="n">
        <v>272.73</v>
      </c>
      <c r="D21" s="9" t="inlineStr"/>
      <c r="E21" s="8">
        <f>D21-C21</f>
        <v/>
      </c>
      <c r="F21" s="10">
        <f>IF(C21=0,0,(D21-C21)/C21*100)</f>
        <v/>
      </c>
      <c r="G21" s="6">
        <f>IF(D21="","-",IF(D21&lt;=C21,"✓ OK","⚠ AUMENTO"))</f>
        <v/>
      </c>
    </row>
    <row r="22">
      <c r="A22" s="6" t="n">
        <v>18</v>
      </c>
      <c r="B22" s="7" t="inlineStr">
        <is>
          <t>Estação da casa</t>
        </is>
      </c>
      <c r="C22" s="8" t="n">
        <v>200</v>
      </c>
      <c r="D22" s="9" t="inlineStr"/>
      <c r="E22" s="8">
        <f>D22-C22</f>
        <v/>
      </c>
      <c r="F22" s="10">
        <f>IF(C22=0,0,(D22-C22)/C22*100)</f>
        <v/>
      </c>
      <c r="G22" s="6">
        <f>IF(D22="","-",IF(D22&lt;=C22,"✓ OK","⚠ AUMENTO"))</f>
        <v/>
      </c>
    </row>
    <row r="23">
      <c r="A23" s="6" t="n">
        <v>19</v>
      </c>
      <c r="B23" s="7" t="inlineStr">
        <is>
          <t>Lucas Teles 14k</t>
        </is>
      </c>
      <c r="C23" s="8" t="n">
        <v>636.36</v>
      </c>
      <c r="D23" s="9" t="inlineStr"/>
      <c r="E23" s="8">
        <f>D23-C23</f>
        <v/>
      </c>
      <c r="F23" s="10">
        <f>IF(C23=0,0,(D23-C23)/C23*100)</f>
        <v/>
      </c>
      <c r="G23" s="6">
        <f>IF(D23="","-",IF(D23&lt;=C23,"✓ OK","⚠ AUMENTO"))</f>
        <v/>
      </c>
    </row>
    <row r="24">
      <c r="A24" s="6" t="n">
        <v>20</v>
      </c>
      <c r="B24" s="7" t="inlineStr">
        <is>
          <t>Folha de pagamento</t>
        </is>
      </c>
      <c r="C24" s="8" t="n">
        <v>909.09</v>
      </c>
      <c r="D24" s="9" t="inlineStr"/>
      <c r="E24" s="8">
        <f>D24-C24</f>
        <v/>
      </c>
      <c r="F24" s="10">
        <f>IF(C24=0,0,(D24-C24)/C24*100)</f>
        <v/>
      </c>
      <c r="G24" s="6">
        <f>IF(D24="","-",IF(D24&lt;=C24,"✓ OK","⚠ AUMENTO"))</f>
        <v/>
      </c>
    </row>
    <row r="25">
      <c r="A25" s="6" t="n">
        <v>21</v>
      </c>
      <c r="B25" s="7" t="inlineStr">
        <is>
          <t>Imposto Simples Nacional</t>
        </is>
      </c>
      <c r="C25" s="8" t="n">
        <v>204.55</v>
      </c>
      <c r="D25" s="9" t="inlineStr"/>
      <c r="E25" s="8">
        <f>D25-C25</f>
        <v/>
      </c>
      <c r="F25" s="10">
        <f>IF(C25=0,0,(D25-C25)/C25*100)</f>
        <v/>
      </c>
      <c r="G25" s="6">
        <f>IF(D25="","-",IF(D25&lt;=C25,"✓ OK","⚠ AUMENTO"))</f>
        <v/>
      </c>
    </row>
    <row r="26">
      <c r="A26" s="11" t="inlineStr">
        <is>
          <t>TOTAL</t>
        </is>
      </c>
      <c r="C26" s="12">
        <f>SUM(C5:C25)</f>
        <v/>
      </c>
      <c r="D26" s="12">
        <f>SUM(D5:D25)</f>
        <v/>
      </c>
      <c r="E26" s="12">
        <f>D26-C26</f>
        <v/>
      </c>
      <c r="F26" s="13">
        <f>IF(C26=0,0,(D26-C26)/C26*100)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 ht="25" customHeight="1">
      <c r="A1" s="1" t="inlineStr">
        <is>
          <t>RESUMO MENSAL - ANÁLISE DE CUSTOS</t>
        </is>
      </c>
    </row>
    <row r="3">
      <c r="A3" s="5" t="inlineStr">
        <is>
          <t>Semana</t>
        </is>
      </c>
      <c r="B3" s="5" t="inlineStr">
        <is>
          <t>Custo Fixo Planejado</t>
        </is>
      </c>
      <c r="C3" s="5" t="inlineStr">
        <is>
          <t>Custo Real</t>
        </is>
      </c>
      <c r="D3" s="5" t="inlineStr">
        <is>
          <t>Diferença</t>
        </is>
      </c>
      <c r="E3" s="5" t="inlineStr">
        <is>
          <t>Variação (%)</t>
        </is>
      </c>
      <c r="F3" s="5" t="inlineStr">
        <is>
          <t>Status</t>
        </is>
      </c>
    </row>
    <row r="4">
      <c r="A4" s="6" t="inlineStr">
        <is>
          <t>Semana 1</t>
        </is>
      </c>
      <c r="B4" s="14">
        <f>ACOMPANHAMENTO DIÁRIO!C4:C4</f>
        <v/>
      </c>
      <c r="C4" s="15" t="inlineStr"/>
      <c r="D4" s="14">
        <f>C4-B4</f>
        <v/>
      </c>
      <c r="E4" s="16">
        <f>IF(B4=0,0,(C4-B4)/B4*100)</f>
        <v/>
      </c>
      <c r="F4" s="6">
        <f>IF(C4="","-",IF(C4&lt;=B4,"✓","⚠"))</f>
        <v/>
      </c>
    </row>
    <row r="5">
      <c r="A5" s="6" t="inlineStr">
        <is>
          <t>Semana 2</t>
        </is>
      </c>
      <c r="B5" s="14">
        <f>ACOMPANHAMENTO DIÁRIO!C5:C5</f>
        <v/>
      </c>
      <c r="C5" s="15" t="inlineStr"/>
      <c r="D5" s="14">
        <f>C5-B5</f>
        <v/>
      </c>
      <c r="E5" s="16">
        <f>IF(B5=0,0,(C5-B5)/B5*100)</f>
        <v/>
      </c>
      <c r="F5" s="6">
        <f>IF(C5="","-",IF(C5&lt;=B5,"✓","⚠"))</f>
        <v/>
      </c>
    </row>
    <row r="6">
      <c r="A6" s="6" t="inlineStr">
        <is>
          <t>Semana 3</t>
        </is>
      </c>
      <c r="B6" s="14">
        <f>ACOMPANHAMENTO DIÁRIO!C6:C6</f>
        <v/>
      </c>
      <c r="C6" s="15" t="inlineStr"/>
      <c r="D6" s="14">
        <f>C6-B6</f>
        <v/>
      </c>
      <c r="E6" s="16">
        <f>IF(B6=0,0,(C6-B6)/B6*100)</f>
        <v/>
      </c>
      <c r="F6" s="6">
        <f>IF(C6="","-",IF(C6&lt;=B6,"✓","⚠"))</f>
        <v/>
      </c>
    </row>
    <row r="7">
      <c r="A7" s="6" t="inlineStr">
        <is>
          <t>Semana 4</t>
        </is>
      </c>
      <c r="B7" s="14">
        <f>ACOMPANHAMENTO DIÁRIO!C7:C7</f>
        <v/>
      </c>
      <c r="C7" s="15" t="inlineStr"/>
      <c r="D7" s="14">
        <f>C7-B7</f>
        <v/>
      </c>
      <c r="E7" s="16">
        <f>IF(B7=0,0,(C7-B7)/B7*100)</f>
        <v/>
      </c>
      <c r="F7" s="6">
        <f>IF(C7="","-",IF(C7&lt;=B7,"✓","⚠"))</f>
        <v/>
      </c>
    </row>
    <row r="8">
      <c r="A8" s="6" t="inlineStr">
        <is>
          <t>Semana 5</t>
        </is>
      </c>
      <c r="B8" s="14">
        <f>ACOMPANHAMENTO DIÁRIO!C8:C8</f>
        <v/>
      </c>
      <c r="C8" s="15" t="inlineStr"/>
      <c r="D8" s="14">
        <f>C8-B8</f>
        <v/>
      </c>
      <c r="E8" s="16">
        <f>IF(B8=0,0,(C8-B8)/B8*100)</f>
        <v/>
      </c>
      <c r="F8" s="6">
        <f>IF(C8="","-",IF(C8&lt;=B8,"✓","⚠"))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2026-06-07T21:32:52Z</dcterms:created>
  <dcterms:modified xmlns:dcterms="http://purl.org/dc/terms/" xmlns:xsi="http://www.w3.org/2001/XMLSchema-instance" xsi:type="dcterms:W3CDTF">2026-06-07T21:32:52Z</dcterms:modified>
</cp:coreProperties>
</file>